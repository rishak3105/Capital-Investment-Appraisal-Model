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9e4b5f06f3938b/"/>
    </mc:Choice>
  </mc:AlternateContent>
  <xr:revisionPtr revIDLastSave="33" documentId="8_{E943F4F1-F9BC-4D2C-9512-4E7C44991D88}" xr6:coauthVersionLast="47" xr6:coauthVersionMax="47" xr10:uidLastSave="{FDF85BA0-40F6-48D3-9A59-3D6E76DB9704}"/>
  <bookViews>
    <workbookView xWindow="-110" yWindow="-110" windowWidth="19420" windowHeight="11500" xr2:uid="{58ACA59A-E899-499E-8349-7BBA1CFD21C9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1" l="1"/>
  <c r="B85" i="1"/>
  <c r="C84" i="1"/>
  <c r="B84" i="1"/>
  <c r="C35" i="1"/>
  <c r="B35" i="1"/>
  <c r="G51" i="1"/>
  <c r="C60" i="1"/>
  <c r="D60" i="1"/>
  <c r="C61" i="1"/>
  <c r="C63" i="1" s="1"/>
  <c r="C65" i="1" s="1"/>
  <c r="C62" i="1"/>
  <c r="D62" i="1"/>
  <c r="E62" i="1" s="1"/>
  <c r="F62" i="1" s="1"/>
  <c r="G62" i="1" s="1"/>
  <c r="C64" i="1"/>
  <c r="D64" i="1"/>
  <c r="E64" i="1"/>
  <c r="F64" i="1"/>
  <c r="G64" i="1"/>
  <c r="C68" i="1"/>
  <c r="D68" i="1"/>
  <c r="E68" i="1"/>
  <c r="F68" i="1"/>
  <c r="G68" i="1"/>
  <c r="B69" i="1"/>
  <c r="B70" i="1"/>
  <c r="G70" i="1"/>
  <c r="G71" i="1"/>
  <c r="B72" i="1"/>
  <c r="B73" i="1"/>
  <c r="C73" i="1"/>
  <c r="D73" i="1"/>
  <c r="E73" i="1"/>
  <c r="F73" i="1"/>
  <c r="G73" i="1"/>
  <c r="C40" i="1"/>
  <c r="C41" i="1" s="1"/>
  <c r="D40" i="1"/>
  <c r="E40" i="1"/>
  <c r="F40" i="1"/>
  <c r="G40" i="1"/>
  <c r="G41" i="1" s="1"/>
  <c r="D41" i="1"/>
  <c r="E41" i="1"/>
  <c r="F41" i="1"/>
  <c r="C42" i="1"/>
  <c r="D42" i="1"/>
  <c r="E42" i="1" s="1"/>
  <c r="D43" i="1"/>
  <c r="C44" i="1"/>
  <c r="D44" i="1"/>
  <c r="E44" i="1"/>
  <c r="F44" i="1"/>
  <c r="G44" i="1"/>
  <c r="D45" i="1"/>
  <c r="D46" i="1"/>
  <c r="D47" i="1"/>
  <c r="C48" i="1"/>
  <c r="D48" i="1"/>
  <c r="E48" i="1"/>
  <c r="F48" i="1"/>
  <c r="G48" i="1"/>
  <c r="B49" i="1"/>
  <c r="B50" i="1"/>
  <c r="G50" i="1"/>
  <c r="B52" i="1"/>
  <c r="D52" i="1"/>
  <c r="B53" i="1"/>
  <c r="C53" i="1"/>
  <c r="D53" i="1"/>
  <c r="E53" i="1"/>
  <c r="F53" i="1"/>
  <c r="G53" i="1"/>
  <c r="B54" i="1"/>
  <c r="B56" i="1" s="1"/>
  <c r="C20" i="1"/>
  <c r="D20" i="1"/>
  <c r="E20" i="1"/>
  <c r="F20" i="1"/>
  <c r="G20" i="1"/>
  <c r="C21" i="1"/>
  <c r="D21" i="1"/>
  <c r="E21" i="1"/>
  <c r="F21" i="1"/>
  <c r="G21" i="1"/>
  <c r="C22" i="1"/>
  <c r="D22" i="1"/>
  <c r="C23" i="1"/>
  <c r="C24" i="1"/>
  <c r="D24" i="1"/>
  <c r="E24" i="1"/>
  <c r="F24" i="1"/>
  <c r="F28" i="1" s="1"/>
  <c r="G24" i="1"/>
  <c r="C25" i="1"/>
  <c r="C26" i="1"/>
  <c r="C27" i="1"/>
  <c r="C28" i="1"/>
  <c r="D28" i="1"/>
  <c r="E28" i="1"/>
  <c r="G28" i="1"/>
  <c r="B29" i="1"/>
  <c r="B30" i="1"/>
  <c r="G30" i="1"/>
  <c r="G31" i="1"/>
  <c r="B32" i="1"/>
  <c r="C32" i="1"/>
  <c r="B33" i="1"/>
  <c r="C33" i="1"/>
  <c r="D33" i="1"/>
  <c r="E33" i="1"/>
  <c r="F33" i="1"/>
  <c r="G33" i="1"/>
  <c r="C66" i="1" l="1"/>
  <c r="C67" i="1" s="1"/>
  <c r="C72" i="1" s="1"/>
  <c r="D80" i="1"/>
  <c r="B74" i="1"/>
  <c r="B76" i="1" s="1"/>
  <c r="B75" i="1"/>
  <c r="E22" i="1"/>
  <c r="D23" i="1"/>
  <c r="D25" i="1" s="1"/>
  <c r="C43" i="1"/>
  <c r="C45" i="1" s="1"/>
  <c r="B34" i="1"/>
  <c r="B36" i="1" s="1"/>
  <c r="B80" i="1"/>
  <c r="C34" i="1"/>
  <c r="D54" i="1"/>
  <c r="E60" i="1"/>
  <c r="D61" i="1"/>
  <c r="D63" i="1" s="1"/>
  <c r="D65" i="1" s="1"/>
  <c r="C46" i="1"/>
  <c r="C47" i="1" s="1"/>
  <c r="C52" i="1" s="1"/>
  <c r="E43" i="1"/>
  <c r="E45" i="1" s="1"/>
  <c r="F42" i="1"/>
  <c r="B55" i="1"/>
  <c r="C80" i="1"/>
  <c r="C75" i="1" l="1"/>
  <c r="C74" i="1"/>
  <c r="C76" i="1" s="1"/>
  <c r="E23" i="1"/>
  <c r="E25" i="1" s="1"/>
  <c r="F22" i="1"/>
  <c r="D26" i="1"/>
  <c r="D27" i="1" s="1"/>
  <c r="D32" i="1" s="1"/>
  <c r="C36" i="1"/>
  <c r="E61" i="1"/>
  <c r="E63" i="1" s="1"/>
  <c r="E65" i="1" s="1"/>
  <c r="F60" i="1"/>
  <c r="D66" i="1"/>
  <c r="D67" i="1" s="1"/>
  <c r="D72" i="1" s="1"/>
  <c r="C54" i="1"/>
  <c r="E46" i="1"/>
  <c r="E47" i="1" s="1"/>
  <c r="E52" i="1" s="1"/>
  <c r="F43" i="1"/>
  <c r="F45" i="1" s="1"/>
  <c r="G42" i="1"/>
  <c r="G43" i="1" s="1"/>
  <c r="G45" i="1" s="1"/>
  <c r="C55" i="1"/>
  <c r="E26" i="1" l="1"/>
  <c r="E27" i="1" s="1"/>
  <c r="E32" i="1" s="1"/>
  <c r="G22" i="1"/>
  <c r="G23" i="1" s="1"/>
  <c r="G25" i="1" s="1"/>
  <c r="G26" i="1" s="1"/>
  <c r="G27" i="1" s="1"/>
  <c r="G32" i="1" s="1"/>
  <c r="G34" i="1" s="1"/>
  <c r="F23" i="1"/>
  <c r="F25" i="1" s="1"/>
  <c r="F26" i="1" s="1"/>
  <c r="F27" i="1" s="1"/>
  <c r="F32" i="1" s="1"/>
  <c r="F34" i="1" s="1"/>
  <c r="D35" i="1"/>
  <c r="D34" i="1"/>
  <c r="D36" i="1" s="1"/>
  <c r="E66" i="1"/>
  <c r="E67" i="1" s="1"/>
  <c r="E72" i="1" s="1"/>
  <c r="F61" i="1"/>
  <c r="F63" i="1" s="1"/>
  <c r="F65" i="1" s="1"/>
  <c r="G60" i="1"/>
  <c r="D75" i="1"/>
  <c r="D74" i="1"/>
  <c r="C56" i="1"/>
  <c r="F46" i="1"/>
  <c r="F47" i="1" s="1"/>
  <c r="F52" i="1" s="1"/>
  <c r="G46" i="1"/>
  <c r="G47" i="1"/>
  <c r="G52" i="1" s="1"/>
  <c r="G54" i="1" s="1"/>
  <c r="E54" i="1"/>
  <c r="D55" i="1"/>
  <c r="E55" i="1" s="1"/>
  <c r="B83" i="1" l="1"/>
  <c r="B81" i="1"/>
  <c r="B86" i="1" s="1"/>
  <c r="B82" i="1"/>
  <c r="E35" i="1"/>
  <c r="F35" i="1" s="1"/>
  <c r="G35" i="1" s="1"/>
  <c r="E34" i="1"/>
  <c r="E36" i="1"/>
  <c r="F66" i="1"/>
  <c r="F67" i="1" s="1"/>
  <c r="F72" i="1" s="1"/>
  <c r="G61" i="1"/>
  <c r="G63" i="1" s="1"/>
  <c r="G65" i="1" s="1"/>
  <c r="D76" i="1"/>
  <c r="D56" i="1"/>
  <c r="E75" i="1"/>
  <c r="E74" i="1"/>
  <c r="C82" i="1"/>
  <c r="F55" i="1"/>
  <c r="G55" i="1" s="1"/>
  <c r="C83" i="1"/>
  <c r="C81" i="1"/>
  <c r="C86" i="1" s="1"/>
  <c r="F54" i="1"/>
  <c r="F36" i="1" l="1"/>
  <c r="G66" i="1"/>
  <c r="G67" i="1" s="1"/>
  <c r="G72" i="1" s="1"/>
  <c r="E76" i="1"/>
  <c r="E56" i="1"/>
  <c r="F75" i="1"/>
  <c r="F74" i="1"/>
  <c r="D84" i="1" l="1"/>
  <c r="D83" i="1"/>
  <c r="G36" i="1"/>
  <c r="F76" i="1"/>
  <c r="F56" i="1"/>
  <c r="D82" i="1"/>
  <c r="D81" i="1"/>
  <c r="D86" i="1" s="1"/>
  <c r="G75" i="1"/>
  <c r="G74" i="1"/>
  <c r="D85" i="1" s="1"/>
  <c r="G76" i="1" l="1"/>
  <c r="G56" i="1"/>
</calcChain>
</file>

<file path=xl/sharedStrings.xml><?xml version="1.0" encoding="utf-8"?>
<sst xmlns="http://schemas.openxmlformats.org/spreadsheetml/2006/main" count="86" uniqueCount="47">
  <si>
    <t>Project Helios — New Production Line: Capital Investment Appraisal</t>
  </si>
  <si>
    <t>Base</t>
  </si>
  <si>
    <t>Worst</t>
  </si>
  <si>
    <t>Best</t>
  </si>
  <si>
    <t>Initial capital expenditure (₹'000)</t>
  </si>
  <si>
    <t>Working capital investment, Year 0 (₹'000)</t>
  </si>
  <si>
    <t>Project life (years)</t>
  </si>
  <si>
    <t>Year 1 revenue (₹'000)</t>
  </si>
  <si>
    <t>Revenue growth p.a.</t>
  </si>
  <si>
    <t>COGS as % of revenue</t>
  </si>
  <si>
    <t>Fixed operating costs, Year 1 (₹'000)</t>
  </si>
  <si>
    <t>Fixed cost inflation p.a.</t>
  </si>
  <si>
    <t>Salvage value at end of life (₹'000)</t>
  </si>
  <si>
    <t>Tax rate</t>
  </si>
  <si>
    <t>Discount rate (WACC)</t>
  </si>
  <si>
    <t>Year</t>
  </si>
  <si>
    <t>Revenue</t>
  </si>
  <si>
    <t>Cost of goods sold</t>
  </si>
  <si>
    <t>Fixed operating costs</t>
  </si>
  <si>
    <t>EBITDA</t>
  </si>
  <si>
    <t>Depreciation</t>
  </si>
  <si>
    <t>EBIT</t>
  </si>
  <si>
    <t>Tax</t>
  </si>
  <si>
    <t>NOPAT</t>
  </si>
  <si>
    <t>Add back: Depreciation</t>
  </si>
  <si>
    <t>Capital expenditure</t>
  </si>
  <si>
    <t>Working capital (outflow)/recovery</t>
  </si>
  <si>
    <t>Salvage value</t>
  </si>
  <si>
    <t>Free cash flow</t>
  </si>
  <si>
    <t>Discount factor</t>
  </si>
  <si>
    <t>PV of free cash flow</t>
  </si>
  <si>
    <t>Cumulative FCF</t>
  </si>
  <si>
    <t>Cumulative discounted FCF</t>
  </si>
  <si>
    <t>Net Present Value (NPV)</t>
  </si>
  <si>
    <t>Internal Rate of Return (IRR)</t>
  </si>
  <si>
    <t>Profitability Index (PI)</t>
  </si>
  <si>
    <t>Payback period (years)</t>
  </si>
  <si>
    <t>Decision (NPV rule)</t>
  </si>
  <si>
    <t>Metric</t>
  </si>
  <si>
    <t>Initial outlay (Year 0)</t>
  </si>
  <si>
    <t>Discounted payback (years)</t>
  </si>
  <si>
    <t>Assumptions</t>
  </si>
  <si>
    <t>Worst Case</t>
  </si>
  <si>
    <t>Base Case</t>
  </si>
  <si>
    <t>Best Case</t>
  </si>
  <si>
    <t>Scenario Analysis — Best / Base / Worst</t>
  </si>
  <si>
    <t>Capital Appraisal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</si>
</sst>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;\(\₹#,##0\);&quot;-&quot;"/>
    <numFmt numFmtId="165" formatCode="0.0%"/>
    <numFmt numFmtId="166" formatCode="0.000"/>
    <numFmt numFmtId="167" formatCode="0.00\x"/>
    <numFmt numFmtId="168" formatCode="0.00\ &quot;yrs&quot;"/>
  </numFmts>
  <fonts count="9" x14ac:knownFonts="1"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sz val="11"/>
      <color rgb="FFFFFFFF"/>
      <name val="Calibri"/>
      <family val="2"/>
    </font>
    <font>
      <b/>
      <sz val="13"/>
      <color theme="1"/>
      <name val="Calibri"/>
      <family val="2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b/>
      <sz val="11"/>
      <color theme="1"/>
      <name val="Calibri"/>
      <family val="2"/>
    </font>
    <font>
      <sz val="11"/>
      <color rgb="FF008000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3" fillId="0" borderId="0" xfId="0" applyFont="1"/>
    <xf numFmtId="0" fontId="4" fillId="3" borderId="0" xfId="0" applyFont="1" applyFill="1"/>
    <xf numFmtId="0" fontId="4" fillId="0" borderId="0" xfId="0" applyFont="1"/>
    <xf numFmtId="164" fontId="4" fillId="0" borderId="0" xfId="0" applyNumberFormat="1" applyFont="1"/>
    <xf numFmtId="0" fontId="6" fillId="0" borderId="0" xfId="0" applyFont="1"/>
    <xf numFmtId="168" fontId="6" fillId="0" borderId="0" xfId="0" applyNumberFormat="1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1" xfId="0" applyFont="1" applyBorder="1"/>
    <xf numFmtId="164" fontId="5" fillId="0" borderId="1" xfId="0" applyNumberFormat="1" applyFont="1" applyBorder="1"/>
    <xf numFmtId="1" fontId="5" fillId="0" borderId="1" xfId="0" applyNumberFormat="1" applyFont="1" applyBorder="1"/>
    <xf numFmtId="165" fontId="5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164" fontId="4" fillId="0" borderId="1" xfId="0" applyNumberFormat="1" applyFont="1" applyBorder="1"/>
    <xf numFmtId="164" fontId="7" fillId="0" borderId="1" xfId="0" applyNumberFormat="1" applyFont="1" applyBorder="1"/>
    <xf numFmtId="164" fontId="6" fillId="0" borderId="1" xfId="0" applyNumberFormat="1" applyFont="1" applyBorder="1"/>
    <xf numFmtId="166" fontId="4" fillId="0" borderId="1" xfId="0" applyNumberFormat="1" applyFont="1" applyBorder="1"/>
    <xf numFmtId="165" fontId="6" fillId="0" borderId="1" xfId="0" applyNumberFormat="1" applyFont="1" applyBorder="1"/>
    <xf numFmtId="167" fontId="6" fillId="0" borderId="1" xfId="0" applyNumberFormat="1" applyFont="1" applyBorder="1"/>
    <xf numFmtId="168" fontId="6" fillId="0" borderId="1" xfId="0" applyNumberFormat="1" applyFont="1" applyBorder="1" applyAlignment="1">
      <alignment horizontal="center"/>
    </xf>
    <xf numFmtId="168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1F31DD-16EC-47DF-9143-B1E1E612857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93a7410-b67b-4e51-bad6-9b120fb2582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75D1B-AE6F-4B20-8314-F4334390D27A}">
  <dimension ref="A1:I89"/>
  <sheetViews>
    <sheetView showGridLines="0" tabSelected="1" zoomScale="79" workbookViewId="0">
      <pane ySplit="1" topLeftCell="A2" activePane="bottomLeft" state="frozen"/>
      <selection pane="bottomLeft" activeCell="F89" sqref="F89"/>
    </sheetView>
  </sheetViews>
  <sheetFormatPr defaultRowHeight="14.5" x14ac:dyDescent="0.35"/>
  <cols>
    <col min="1" max="1" width="45.453125" customWidth="1"/>
    <col min="2" max="2" width="22" customWidth="1"/>
    <col min="3" max="7" width="16" customWidth="1"/>
  </cols>
  <sheetData>
    <row r="1" spans="1:9" ht="18.5" x14ac:dyDescent="0.45">
      <c r="A1" s="1" t="s">
        <v>0</v>
      </c>
      <c r="B1" s="1"/>
      <c r="C1" s="3"/>
      <c r="D1" s="3"/>
      <c r="E1" s="3"/>
      <c r="F1" s="3"/>
      <c r="G1" s="3"/>
      <c r="H1" s="4"/>
      <c r="I1" s="4"/>
    </row>
    <row r="2" spans="1:9" x14ac:dyDescent="0.35">
      <c r="A2" s="4"/>
      <c r="B2" s="4"/>
      <c r="C2" s="4"/>
      <c r="D2" s="4"/>
      <c r="E2" s="4"/>
      <c r="F2" s="4"/>
      <c r="G2" s="4"/>
      <c r="H2" s="4"/>
      <c r="I2" s="4"/>
    </row>
    <row r="3" spans="1:9" x14ac:dyDescent="0.35">
      <c r="A3" s="8" t="s">
        <v>41</v>
      </c>
      <c r="B3" s="9" t="s">
        <v>2</v>
      </c>
      <c r="C3" s="9" t="s">
        <v>1</v>
      </c>
      <c r="D3" s="9" t="s">
        <v>3</v>
      </c>
      <c r="E3" s="4"/>
      <c r="F3" s="4"/>
      <c r="G3" s="4"/>
      <c r="H3" s="4"/>
      <c r="I3" s="4"/>
    </row>
    <row r="4" spans="1:9" x14ac:dyDescent="0.35">
      <c r="A4" s="10" t="s">
        <v>4</v>
      </c>
      <c r="B4" s="11">
        <v>55000</v>
      </c>
      <c r="C4" s="11">
        <v>50000</v>
      </c>
      <c r="D4" s="11">
        <v>48000</v>
      </c>
      <c r="E4" s="4"/>
      <c r="F4" s="4"/>
      <c r="G4" s="4"/>
      <c r="H4" s="4"/>
      <c r="I4" s="4"/>
    </row>
    <row r="5" spans="1:9" x14ac:dyDescent="0.35">
      <c r="A5" s="10" t="s">
        <v>5</v>
      </c>
      <c r="B5" s="11">
        <v>5000</v>
      </c>
      <c r="C5" s="11">
        <v>5000</v>
      </c>
      <c r="D5" s="11">
        <v>5000</v>
      </c>
      <c r="E5" s="4"/>
      <c r="F5" s="4"/>
      <c r="G5" s="4"/>
      <c r="H5" s="4"/>
      <c r="I5" s="4"/>
    </row>
    <row r="6" spans="1:9" x14ac:dyDescent="0.35">
      <c r="A6" s="10" t="s">
        <v>6</v>
      </c>
      <c r="B6" s="12">
        <v>5</v>
      </c>
      <c r="C6" s="12">
        <v>5</v>
      </c>
      <c r="D6" s="12">
        <v>5</v>
      </c>
      <c r="E6" s="4"/>
      <c r="F6" s="4"/>
      <c r="G6" s="4"/>
      <c r="H6" s="4"/>
      <c r="I6" s="4"/>
    </row>
    <row r="7" spans="1:9" x14ac:dyDescent="0.35">
      <c r="A7" s="10" t="s">
        <v>7</v>
      </c>
      <c r="B7" s="11">
        <v>40000</v>
      </c>
      <c r="C7" s="11">
        <v>46000</v>
      </c>
      <c r="D7" s="11">
        <v>52000</v>
      </c>
      <c r="E7" s="4"/>
      <c r="F7" s="4"/>
      <c r="G7" s="4"/>
      <c r="H7" s="4"/>
      <c r="I7" s="4"/>
    </row>
    <row r="8" spans="1:9" x14ac:dyDescent="0.35">
      <c r="A8" s="10" t="s">
        <v>8</v>
      </c>
      <c r="B8" s="13">
        <v>0.04</v>
      </c>
      <c r="C8" s="13">
        <v>0.08</v>
      </c>
      <c r="D8" s="13">
        <v>0.12</v>
      </c>
      <c r="E8" s="4"/>
      <c r="F8" s="4"/>
      <c r="G8" s="4"/>
      <c r="H8" s="4"/>
      <c r="I8" s="4"/>
    </row>
    <row r="9" spans="1:9" x14ac:dyDescent="0.35">
      <c r="A9" s="10" t="s">
        <v>9</v>
      </c>
      <c r="B9" s="13">
        <v>0.6</v>
      </c>
      <c r="C9" s="13">
        <v>0.55000000000000004</v>
      </c>
      <c r="D9" s="13">
        <v>0.51</v>
      </c>
      <c r="E9" s="4"/>
      <c r="F9" s="4"/>
      <c r="G9" s="4"/>
      <c r="H9" s="4"/>
      <c r="I9" s="4"/>
    </row>
    <row r="10" spans="1:9" x14ac:dyDescent="0.35">
      <c r="A10" s="10" t="s">
        <v>10</v>
      </c>
      <c r="B10" s="11">
        <v>7000</v>
      </c>
      <c r="C10" s="11">
        <v>6000</v>
      </c>
      <c r="D10" s="11">
        <v>5500</v>
      </c>
      <c r="E10" s="4"/>
      <c r="F10" s="4"/>
      <c r="G10" s="4"/>
      <c r="H10" s="4"/>
      <c r="I10" s="4"/>
    </row>
    <row r="11" spans="1:9" x14ac:dyDescent="0.35">
      <c r="A11" s="10" t="s">
        <v>11</v>
      </c>
      <c r="B11" s="13">
        <v>0.06</v>
      </c>
      <c r="C11" s="13">
        <v>0.04</v>
      </c>
      <c r="D11" s="13">
        <v>0.03</v>
      </c>
      <c r="E11" s="4"/>
      <c r="F11" s="4"/>
      <c r="G11" s="4"/>
      <c r="H11" s="4"/>
      <c r="I11" s="4"/>
    </row>
    <row r="12" spans="1:9" x14ac:dyDescent="0.35">
      <c r="A12" s="10" t="s">
        <v>12</v>
      </c>
      <c r="B12" s="11">
        <v>3000</v>
      </c>
      <c r="C12" s="11">
        <v>5000</v>
      </c>
      <c r="D12" s="11">
        <v>7000</v>
      </c>
      <c r="E12" s="4"/>
      <c r="F12" s="4"/>
      <c r="G12" s="4"/>
      <c r="H12" s="4"/>
      <c r="I12" s="4"/>
    </row>
    <row r="13" spans="1:9" x14ac:dyDescent="0.35">
      <c r="A13" s="10" t="s">
        <v>13</v>
      </c>
      <c r="B13" s="13">
        <v>0.25</v>
      </c>
      <c r="C13" s="13">
        <v>0.25</v>
      </c>
      <c r="D13" s="13">
        <v>0.25</v>
      </c>
      <c r="E13" s="4"/>
      <c r="F13" s="4"/>
      <c r="G13" s="4"/>
      <c r="H13" s="4"/>
      <c r="I13" s="4"/>
    </row>
    <row r="14" spans="1:9" x14ac:dyDescent="0.35">
      <c r="A14" s="10" t="s">
        <v>14</v>
      </c>
      <c r="B14" s="13">
        <v>0.14000000000000001</v>
      </c>
      <c r="C14" s="13">
        <v>0.12</v>
      </c>
      <c r="D14" s="13">
        <v>0.11</v>
      </c>
      <c r="E14" s="4"/>
      <c r="F14" s="4"/>
      <c r="G14" s="4"/>
      <c r="H14" s="4"/>
      <c r="I14" s="4"/>
    </row>
    <row r="15" spans="1:9" x14ac:dyDescent="0.35">
      <c r="A15" s="4"/>
      <c r="B15" s="4"/>
      <c r="C15" s="4"/>
      <c r="D15" s="4"/>
      <c r="E15" s="4"/>
      <c r="F15" s="4"/>
      <c r="G15" s="4"/>
      <c r="H15" s="4"/>
      <c r="I15" s="4"/>
    </row>
    <row r="16" spans="1:9" ht="17" x14ac:dyDescent="0.4">
      <c r="A16" s="2" t="s">
        <v>45</v>
      </c>
      <c r="B16" s="4"/>
      <c r="C16" s="4"/>
      <c r="D16" s="4"/>
      <c r="E16" s="4"/>
      <c r="F16" s="4"/>
      <c r="G16" s="4"/>
      <c r="H16" s="4"/>
      <c r="I16" s="4"/>
    </row>
    <row r="17" spans="1:9" x14ac:dyDescent="0.3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5">
      <c r="A18" s="8" t="s">
        <v>44</v>
      </c>
      <c r="B18" s="8"/>
      <c r="C18" s="8"/>
      <c r="D18" s="8"/>
      <c r="E18" s="8"/>
      <c r="F18" s="8"/>
      <c r="G18" s="8"/>
      <c r="H18" s="4"/>
      <c r="I18" s="4"/>
    </row>
    <row r="19" spans="1:9" x14ac:dyDescent="0.35">
      <c r="A19" s="14" t="s">
        <v>15</v>
      </c>
      <c r="B19" s="15">
        <v>0</v>
      </c>
      <c r="C19" s="15">
        <v>1</v>
      </c>
      <c r="D19" s="15">
        <v>2</v>
      </c>
      <c r="E19" s="15">
        <v>3</v>
      </c>
      <c r="F19" s="15">
        <v>4</v>
      </c>
      <c r="G19" s="15">
        <v>5</v>
      </c>
      <c r="H19" s="4"/>
      <c r="I19" s="4"/>
    </row>
    <row r="20" spans="1:9" x14ac:dyDescent="0.35">
      <c r="A20" s="10" t="s">
        <v>16</v>
      </c>
      <c r="B20" s="16"/>
      <c r="C20" s="17">
        <f>$D$7</f>
        <v>52000</v>
      </c>
      <c r="D20" s="16">
        <f>C20*(1+$D$8)</f>
        <v>58240.000000000007</v>
      </c>
      <c r="E20" s="16">
        <f>D20*(1+$D$8)</f>
        <v>65228.800000000017</v>
      </c>
      <c r="F20" s="16">
        <f>E20*(1+$D$8)</f>
        <v>73056.256000000023</v>
      </c>
      <c r="G20" s="16">
        <f>F20*(1+$D$8)</f>
        <v>81823.006720000034</v>
      </c>
      <c r="H20" s="4"/>
      <c r="I20" s="4"/>
    </row>
    <row r="21" spans="1:9" x14ac:dyDescent="0.35">
      <c r="A21" s="10" t="s">
        <v>17</v>
      </c>
      <c r="B21" s="16"/>
      <c r="C21" s="16">
        <f>-C20*$D$9</f>
        <v>-26520</v>
      </c>
      <c r="D21" s="16">
        <f>-D20*$D$9</f>
        <v>-29702.400000000005</v>
      </c>
      <c r="E21" s="16">
        <f>-E20*$D$9</f>
        <v>-33266.688000000009</v>
      </c>
      <c r="F21" s="16">
        <f>-F20*$D$9</f>
        <v>-37258.69056000001</v>
      </c>
      <c r="G21" s="16">
        <f>-G20*$D$9</f>
        <v>-41729.733427200015</v>
      </c>
      <c r="H21" s="4"/>
      <c r="I21" s="4"/>
    </row>
    <row r="22" spans="1:9" x14ac:dyDescent="0.35">
      <c r="A22" s="10" t="s">
        <v>18</v>
      </c>
      <c r="B22" s="16"/>
      <c r="C22" s="16">
        <f>-$D$10</f>
        <v>-5500</v>
      </c>
      <c r="D22" s="16">
        <f>C22*(1+$D$11)</f>
        <v>-5665</v>
      </c>
      <c r="E22" s="16">
        <f>D22*(1+$D$11)</f>
        <v>-5834.95</v>
      </c>
      <c r="F22" s="16">
        <f>E22*(1+$D$11)</f>
        <v>-6009.9984999999997</v>
      </c>
      <c r="G22" s="16">
        <f>F22*(1+$D$11)</f>
        <v>-6190.2984550000001</v>
      </c>
      <c r="H22" s="4"/>
      <c r="I22" s="4"/>
    </row>
    <row r="23" spans="1:9" x14ac:dyDescent="0.35">
      <c r="A23" s="10" t="s">
        <v>19</v>
      </c>
      <c r="B23" s="16"/>
      <c r="C23" s="16">
        <f>C20+C21+C22</f>
        <v>19980</v>
      </c>
      <c r="D23" s="16">
        <f>D20+D21+D22</f>
        <v>22872.600000000002</v>
      </c>
      <c r="E23" s="16">
        <f>E20+E21+E22</f>
        <v>26127.162000000008</v>
      </c>
      <c r="F23" s="16">
        <f>F20+F21+F22</f>
        <v>29787.566940000012</v>
      </c>
      <c r="G23" s="16">
        <f>G20+G21+G22</f>
        <v>33902.974837800022</v>
      </c>
      <c r="H23" s="4"/>
      <c r="I23" s="4"/>
    </row>
    <row r="24" spans="1:9" x14ac:dyDescent="0.35">
      <c r="A24" s="10" t="s">
        <v>20</v>
      </c>
      <c r="B24" s="16"/>
      <c r="C24" s="16">
        <f>-($D$4-$D$12)/$D$6</f>
        <v>-8200</v>
      </c>
      <c r="D24" s="16">
        <f>-($D$4-$D$12)/$D$6</f>
        <v>-8200</v>
      </c>
      <c r="E24" s="16">
        <f>-($D$4-$D$12)/$D$6</f>
        <v>-8200</v>
      </c>
      <c r="F24" s="16">
        <f>-($D$4-$D$12)/$D$6</f>
        <v>-8200</v>
      </c>
      <c r="G24" s="16">
        <f>-($D$4-$D$12)/$D$6</f>
        <v>-8200</v>
      </c>
      <c r="H24" s="4"/>
      <c r="I24" s="4"/>
    </row>
    <row r="25" spans="1:9" x14ac:dyDescent="0.35">
      <c r="A25" s="10" t="s">
        <v>21</v>
      </c>
      <c r="B25" s="16"/>
      <c r="C25" s="16">
        <f>C23+C24</f>
        <v>11780</v>
      </c>
      <c r="D25" s="16">
        <f>D23+D24</f>
        <v>14672.600000000002</v>
      </c>
      <c r="E25" s="16">
        <f>E23+E24</f>
        <v>17927.162000000008</v>
      </c>
      <c r="F25" s="16">
        <f>F23+F24</f>
        <v>21587.566940000012</v>
      </c>
      <c r="G25" s="16">
        <f>G23+G24</f>
        <v>25702.974837800022</v>
      </c>
      <c r="H25" s="4"/>
      <c r="I25" s="4"/>
    </row>
    <row r="26" spans="1:9" x14ac:dyDescent="0.35">
      <c r="A26" s="10" t="s">
        <v>22</v>
      </c>
      <c r="B26" s="16"/>
      <c r="C26" s="16">
        <f>-C25*$D$13</f>
        <v>-2945</v>
      </c>
      <c r="D26" s="16">
        <f>-D25*$D$13</f>
        <v>-3668.1500000000005</v>
      </c>
      <c r="E26" s="16">
        <f>-E25*$D$13</f>
        <v>-4481.7905000000019</v>
      </c>
      <c r="F26" s="16">
        <f>-F25*$D$13</f>
        <v>-5396.8917350000029</v>
      </c>
      <c r="G26" s="16">
        <f>-G25*$D$13</f>
        <v>-6425.7437094500056</v>
      </c>
      <c r="H26" s="4"/>
      <c r="I26" s="4"/>
    </row>
    <row r="27" spans="1:9" x14ac:dyDescent="0.35">
      <c r="A27" s="10" t="s">
        <v>23</v>
      </c>
      <c r="B27" s="16"/>
      <c r="C27" s="16">
        <f>C25+C26</f>
        <v>8835</v>
      </c>
      <c r="D27" s="16">
        <f>D25+D26</f>
        <v>11004.45</v>
      </c>
      <c r="E27" s="16">
        <f>E25+E26</f>
        <v>13445.371500000005</v>
      </c>
      <c r="F27" s="16">
        <f>F25+F26</f>
        <v>16190.675205000009</v>
      </c>
      <c r="G27" s="16">
        <f>G25+G26</f>
        <v>19277.231128350017</v>
      </c>
      <c r="H27" s="4"/>
      <c r="I27" s="4"/>
    </row>
    <row r="28" spans="1:9" x14ac:dyDescent="0.35">
      <c r="A28" s="10" t="s">
        <v>24</v>
      </c>
      <c r="B28" s="16"/>
      <c r="C28" s="16">
        <f>-C24</f>
        <v>8200</v>
      </c>
      <c r="D28" s="16">
        <f>-D24</f>
        <v>8200</v>
      </c>
      <c r="E28" s="16">
        <f>-E24</f>
        <v>8200</v>
      </c>
      <c r="F28" s="16">
        <f>-F24</f>
        <v>8200</v>
      </c>
      <c r="G28" s="16">
        <f>-G24</f>
        <v>8200</v>
      </c>
      <c r="H28" s="4"/>
      <c r="I28" s="4"/>
    </row>
    <row r="29" spans="1:9" x14ac:dyDescent="0.35">
      <c r="A29" s="10" t="s">
        <v>25</v>
      </c>
      <c r="B29" s="17">
        <f>-$D$4</f>
        <v>-48000</v>
      </c>
      <c r="C29" s="16"/>
      <c r="D29" s="16"/>
      <c r="E29" s="16"/>
      <c r="F29" s="16"/>
      <c r="G29" s="16"/>
      <c r="H29" s="4"/>
      <c r="I29" s="4"/>
    </row>
    <row r="30" spans="1:9" x14ac:dyDescent="0.35">
      <c r="A30" s="10" t="s">
        <v>26</v>
      </c>
      <c r="B30" s="17">
        <f>-$D$5</f>
        <v>-5000</v>
      </c>
      <c r="C30" s="16"/>
      <c r="D30" s="16"/>
      <c r="E30" s="16"/>
      <c r="F30" s="16"/>
      <c r="G30" s="17">
        <f>$D$5</f>
        <v>5000</v>
      </c>
      <c r="H30" s="4"/>
      <c r="I30" s="4"/>
    </row>
    <row r="31" spans="1:9" x14ac:dyDescent="0.35">
      <c r="A31" s="10" t="s">
        <v>27</v>
      </c>
      <c r="B31" s="16"/>
      <c r="C31" s="16"/>
      <c r="D31" s="16"/>
      <c r="E31" s="16"/>
      <c r="F31" s="16"/>
      <c r="G31" s="17">
        <f>$D$12</f>
        <v>7000</v>
      </c>
      <c r="H31" s="4"/>
      <c r="I31" s="4"/>
    </row>
    <row r="32" spans="1:9" x14ac:dyDescent="0.35">
      <c r="A32" s="14" t="s">
        <v>28</v>
      </c>
      <c r="B32" s="18">
        <f t="shared" ref="B32:G32" si="0">SUM(B27:B31)</f>
        <v>-53000</v>
      </c>
      <c r="C32" s="18">
        <f t="shared" si="0"/>
        <v>17035</v>
      </c>
      <c r="D32" s="18">
        <f t="shared" si="0"/>
        <v>19204.45</v>
      </c>
      <c r="E32" s="18">
        <f t="shared" si="0"/>
        <v>21645.371500000005</v>
      </c>
      <c r="F32" s="18">
        <f t="shared" si="0"/>
        <v>24390.675205000007</v>
      </c>
      <c r="G32" s="18">
        <f t="shared" si="0"/>
        <v>39477.231128350017</v>
      </c>
      <c r="H32" s="4"/>
      <c r="I32" s="5"/>
    </row>
    <row r="33" spans="1:9" x14ac:dyDescent="0.35">
      <c r="A33" s="10" t="s">
        <v>29</v>
      </c>
      <c r="B33" s="19">
        <f>1/(1+$D$14)^B$19</f>
        <v>1</v>
      </c>
      <c r="C33" s="19">
        <f>1/(1+$D$14)^C$19</f>
        <v>0.9009009009009008</v>
      </c>
      <c r="D33" s="19">
        <f>1/(1+$D$14)^D$19</f>
        <v>0.8116224332440547</v>
      </c>
      <c r="E33" s="19">
        <f>1/(1+$D$14)^E$19</f>
        <v>0.73119138130095018</v>
      </c>
      <c r="F33" s="19">
        <f>1/(1+$D$14)^F$19</f>
        <v>0.65873097414500015</v>
      </c>
      <c r="G33" s="19">
        <f>1/(1+$D$14)^G$19</f>
        <v>0.5934513280585586</v>
      </c>
      <c r="H33" s="4"/>
      <c r="I33" s="4"/>
    </row>
    <row r="34" spans="1:9" s="25" customFormat="1" x14ac:dyDescent="0.35">
      <c r="A34" s="14" t="s">
        <v>30</v>
      </c>
      <c r="B34" s="18">
        <f t="shared" ref="B34:G34" si="1">B32*B33</f>
        <v>-53000</v>
      </c>
      <c r="C34" s="18">
        <f t="shared" si="1"/>
        <v>15346.846846846845</v>
      </c>
      <c r="D34" s="18">
        <f t="shared" si="1"/>
        <v>15586.762438113787</v>
      </c>
      <c r="E34" s="18">
        <f t="shared" si="1"/>
        <v>15826.909085857224</v>
      </c>
      <c r="F34" s="18">
        <f t="shared" si="1"/>
        <v>16066.893237843955</v>
      </c>
      <c r="G34" s="18">
        <f t="shared" si="1"/>
        <v>23427.815241193988</v>
      </c>
      <c r="H34" s="6"/>
      <c r="I34" s="6"/>
    </row>
    <row r="35" spans="1:9" s="25" customFormat="1" x14ac:dyDescent="0.35">
      <c r="A35" s="14" t="s">
        <v>31</v>
      </c>
      <c r="B35" s="18">
        <f>B32</f>
        <v>-53000</v>
      </c>
      <c r="C35" s="18">
        <f>B35+C32</f>
        <v>-35965</v>
      </c>
      <c r="D35" s="18">
        <f>C35+D32</f>
        <v>-16760.55</v>
      </c>
      <c r="E35" s="18">
        <f>D35+E32</f>
        <v>4884.8215000000055</v>
      </c>
      <c r="F35" s="18">
        <f>E35+F32</f>
        <v>29275.496705000012</v>
      </c>
      <c r="G35" s="18">
        <f>F35+G32</f>
        <v>68752.727833350029</v>
      </c>
      <c r="H35" s="6"/>
      <c r="I35" s="6"/>
    </row>
    <row r="36" spans="1:9" s="25" customFormat="1" x14ac:dyDescent="0.35">
      <c r="A36" s="14" t="s">
        <v>32</v>
      </c>
      <c r="B36" s="18">
        <f>B34</f>
        <v>-53000</v>
      </c>
      <c r="C36" s="18">
        <f>B36+C34</f>
        <v>-37653.153153153151</v>
      </c>
      <c r="D36" s="18">
        <f>C36+D34</f>
        <v>-22066.390715039364</v>
      </c>
      <c r="E36" s="18">
        <f>D36+E34</f>
        <v>-6239.4816291821408</v>
      </c>
      <c r="F36" s="18">
        <f>E36+F34</f>
        <v>9827.4116086618142</v>
      </c>
      <c r="G36" s="18">
        <f>F36+G34</f>
        <v>33255.226849855804</v>
      </c>
      <c r="H36" s="6"/>
      <c r="I36" s="6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8" t="s">
        <v>43</v>
      </c>
      <c r="B38" s="8"/>
      <c r="C38" s="8"/>
      <c r="D38" s="8"/>
      <c r="E38" s="8"/>
      <c r="F38" s="8"/>
      <c r="G38" s="8"/>
      <c r="H38" s="4"/>
      <c r="I38" s="4"/>
    </row>
    <row r="39" spans="1:9" x14ac:dyDescent="0.35">
      <c r="A39" s="14" t="s">
        <v>15</v>
      </c>
      <c r="B39" s="15">
        <v>0</v>
      </c>
      <c r="C39" s="15">
        <v>1</v>
      </c>
      <c r="D39" s="15">
        <v>2</v>
      </c>
      <c r="E39" s="15">
        <v>3</v>
      </c>
      <c r="F39" s="15">
        <v>4</v>
      </c>
      <c r="G39" s="15">
        <v>5</v>
      </c>
      <c r="H39" s="4"/>
      <c r="I39" s="4"/>
    </row>
    <row r="40" spans="1:9" x14ac:dyDescent="0.35">
      <c r="A40" s="10" t="s">
        <v>16</v>
      </c>
      <c r="B40" s="16"/>
      <c r="C40" s="17">
        <f>$C$7</f>
        <v>46000</v>
      </c>
      <c r="D40" s="16">
        <f>C40*(1+$C$8)</f>
        <v>49680</v>
      </c>
      <c r="E40" s="16">
        <f>D40*(1+$C$8)</f>
        <v>53654.400000000001</v>
      </c>
      <c r="F40" s="16">
        <f>E40*(1+$C$8)</f>
        <v>57946.752000000008</v>
      </c>
      <c r="G40" s="16">
        <f>F40*(1+$C$8)</f>
        <v>62582.492160000009</v>
      </c>
      <c r="H40" s="4"/>
      <c r="I40" s="4"/>
    </row>
    <row r="41" spans="1:9" x14ac:dyDescent="0.35">
      <c r="A41" s="10" t="s">
        <v>17</v>
      </c>
      <c r="B41" s="16"/>
      <c r="C41" s="16">
        <f>-C40*$C$9</f>
        <v>-25300.000000000004</v>
      </c>
      <c r="D41" s="16">
        <f>-D40*$C$9</f>
        <v>-27324.000000000004</v>
      </c>
      <c r="E41" s="16">
        <f>-E40*$C$9</f>
        <v>-29509.920000000002</v>
      </c>
      <c r="F41" s="16">
        <f>-F40*$C$9</f>
        <v>-31870.713600000006</v>
      </c>
      <c r="G41" s="16">
        <f>-G40*$C$9</f>
        <v>-34420.37068800001</v>
      </c>
      <c r="H41" s="4"/>
      <c r="I41" s="4"/>
    </row>
    <row r="42" spans="1:9" x14ac:dyDescent="0.35">
      <c r="A42" s="10" t="s">
        <v>18</v>
      </c>
      <c r="B42" s="16"/>
      <c r="C42" s="16">
        <f>-$C$10</f>
        <v>-6000</v>
      </c>
      <c r="D42" s="16">
        <f>C42*(1+$C$11)</f>
        <v>-6240</v>
      </c>
      <c r="E42" s="16">
        <f>D42*(1+$C$11)</f>
        <v>-6489.6</v>
      </c>
      <c r="F42" s="16">
        <f>E42*(1+$C$11)</f>
        <v>-6749.1840000000002</v>
      </c>
      <c r="G42" s="16">
        <f>F42*(1+$C$11)</f>
        <v>-7019.1513600000008</v>
      </c>
      <c r="H42" s="4"/>
      <c r="I42" s="4"/>
    </row>
    <row r="43" spans="1:9" x14ac:dyDescent="0.35">
      <c r="A43" s="10" t="s">
        <v>19</v>
      </c>
      <c r="B43" s="16"/>
      <c r="C43" s="16">
        <f>C40+C41+C42</f>
        <v>14699.999999999996</v>
      </c>
      <c r="D43" s="16">
        <f>D40+D41+D42</f>
        <v>16115.999999999996</v>
      </c>
      <c r="E43" s="16">
        <f>E40+E41+E42</f>
        <v>17654.879999999997</v>
      </c>
      <c r="F43" s="16">
        <f>F40+F41+F42</f>
        <v>19326.8544</v>
      </c>
      <c r="G43" s="16">
        <f>G40+G41+G42</f>
        <v>21142.970111999999</v>
      </c>
      <c r="H43" s="4"/>
      <c r="I43" s="4"/>
    </row>
    <row r="44" spans="1:9" x14ac:dyDescent="0.35">
      <c r="A44" s="10" t="s">
        <v>20</v>
      </c>
      <c r="B44" s="16"/>
      <c r="C44" s="16">
        <f>-($C$4-$C$12)/$C$6</f>
        <v>-9000</v>
      </c>
      <c r="D44" s="16">
        <f>-($C$4-$C$12)/$C$6</f>
        <v>-9000</v>
      </c>
      <c r="E44" s="16">
        <f>-($C$4-$C$12)/$C$6</f>
        <v>-9000</v>
      </c>
      <c r="F44" s="16">
        <f>-($C$4-$C$12)/$C$6</f>
        <v>-9000</v>
      </c>
      <c r="G44" s="16">
        <f>-($C$4-$C$12)/$C$6</f>
        <v>-9000</v>
      </c>
      <c r="H44" s="4"/>
      <c r="I44" s="4"/>
    </row>
    <row r="45" spans="1:9" x14ac:dyDescent="0.35">
      <c r="A45" s="10" t="s">
        <v>21</v>
      </c>
      <c r="B45" s="16"/>
      <c r="C45" s="16">
        <f>C43+C44</f>
        <v>5699.9999999999964</v>
      </c>
      <c r="D45" s="16">
        <f>D43+D44</f>
        <v>7115.9999999999964</v>
      </c>
      <c r="E45" s="16">
        <f>E43+E44</f>
        <v>8654.8799999999974</v>
      </c>
      <c r="F45" s="16">
        <f>F43+F44</f>
        <v>10326.8544</v>
      </c>
      <c r="G45" s="16">
        <f>G43+G44</f>
        <v>12142.970111999999</v>
      </c>
      <c r="H45" s="4"/>
      <c r="I45" s="4"/>
    </row>
    <row r="46" spans="1:9" x14ac:dyDescent="0.35">
      <c r="A46" s="10" t="s">
        <v>22</v>
      </c>
      <c r="B46" s="16"/>
      <c r="C46" s="16">
        <f>-C45*$C$13</f>
        <v>-1424.9999999999991</v>
      </c>
      <c r="D46" s="16">
        <f>-D45*$C$13</f>
        <v>-1778.9999999999991</v>
      </c>
      <c r="E46" s="16">
        <f>-E45*$C$13</f>
        <v>-2163.7199999999993</v>
      </c>
      <c r="F46" s="16">
        <f>-F45*$C$13</f>
        <v>-2581.7136</v>
      </c>
      <c r="G46" s="16">
        <f>-G45*$C$13</f>
        <v>-3035.7425279999998</v>
      </c>
      <c r="H46" s="4"/>
      <c r="I46" s="4"/>
    </row>
    <row r="47" spans="1:9" x14ac:dyDescent="0.35">
      <c r="A47" s="10" t="s">
        <v>23</v>
      </c>
      <c r="B47" s="16"/>
      <c r="C47" s="16">
        <f>C45+C46</f>
        <v>4274.9999999999973</v>
      </c>
      <c r="D47" s="16">
        <f>D45+D46</f>
        <v>5336.9999999999973</v>
      </c>
      <c r="E47" s="16">
        <f>E45+E46</f>
        <v>6491.159999999998</v>
      </c>
      <c r="F47" s="16">
        <f>F45+F46</f>
        <v>7745.1408000000001</v>
      </c>
      <c r="G47" s="16">
        <f>G45+G46</f>
        <v>9107.2275840000002</v>
      </c>
      <c r="H47" s="4"/>
      <c r="I47" s="4"/>
    </row>
    <row r="48" spans="1:9" x14ac:dyDescent="0.35">
      <c r="A48" s="10" t="s">
        <v>24</v>
      </c>
      <c r="B48" s="16"/>
      <c r="C48" s="16">
        <f>-C44</f>
        <v>9000</v>
      </c>
      <c r="D48" s="16">
        <f>-D44</f>
        <v>9000</v>
      </c>
      <c r="E48" s="16">
        <f>-E44</f>
        <v>9000</v>
      </c>
      <c r="F48" s="16">
        <f>-F44</f>
        <v>9000</v>
      </c>
      <c r="G48" s="16">
        <f>-G44</f>
        <v>9000</v>
      </c>
      <c r="H48" s="4"/>
      <c r="I48" s="4"/>
    </row>
    <row r="49" spans="1:9" x14ac:dyDescent="0.35">
      <c r="A49" s="10" t="s">
        <v>25</v>
      </c>
      <c r="B49" s="17">
        <f>-$C$4</f>
        <v>-50000</v>
      </c>
      <c r="C49" s="16"/>
      <c r="D49" s="16"/>
      <c r="E49" s="16"/>
      <c r="F49" s="16"/>
      <c r="G49" s="16"/>
      <c r="H49" s="4"/>
      <c r="I49" s="4"/>
    </row>
    <row r="50" spans="1:9" x14ac:dyDescent="0.35">
      <c r="A50" s="10" t="s">
        <v>26</v>
      </c>
      <c r="B50" s="17">
        <f>-$C$5</f>
        <v>-5000</v>
      </c>
      <c r="C50" s="16"/>
      <c r="D50" s="16"/>
      <c r="E50" s="16"/>
      <c r="F50" s="16"/>
      <c r="G50" s="17">
        <f>$C$5</f>
        <v>5000</v>
      </c>
      <c r="H50" s="4"/>
      <c r="I50" s="4"/>
    </row>
    <row r="51" spans="1:9" x14ac:dyDescent="0.35">
      <c r="A51" s="10" t="s">
        <v>27</v>
      </c>
      <c r="B51" s="16"/>
      <c r="C51" s="16"/>
      <c r="D51" s="16"/>
      <c r="E51" s="16"/>
      <c r="F51" s="16"/>
      <c r="G51" s="17">
        <f>$C$12</f>
        <v>5000</v>
      </c>
      <c r="H51" s="4"/>
      <c r="I51" s="4"/>
    </row>
    <row r="52" spans="1:9" x14ac:dyDescent="0.35">
      <c r="A52" s="14" t="s">
        <v>28</v>
      </c>
      <c r="B52" s="18">
        <f t="shared" ref="B52:G52" si="2">SUM(B47:B51)</f>
        <v>-55000</v>
      </c>
      <c r="C52" s="18">
        <f t="shared" si="2"/>
        <v>13274.999999999996</v>
      </c>
      <c r="D52" s="18">
        <f t="shared" si="2"/>
        <v>14336.999999999996</v>
      </c>
      <c r="E52" s="18">
        <f t="shared" si="2"/>
        <v>15491.159999999998</v>
      </c>
      <c r="F52" s="18">
        <f t="shared" si="2"/>
        <v>16745.140800000001</v>
      </c>
      <c r="G52" s="18">
        <f t="shared" si="2"/>
        <v>28107.227584</v>
      </c>
      <c r="H52" s="4"/>
      <c r="I52" s="4"/>
    </row>
    <row r="53" spans="1:9" x14ac:dyDescent="0.35">
      <c r="A53" s="10" t="s">
        <v>29</v>
      </c>
      <c r="B53" s="19">
        <f t="shared" ref="B53:G53" si="3">1/(1+$C$14)^B$39</f>
        <v>1</v>
      </c>
      <c r="C53" s="19">
        <f t="shared" si="3"/>
        <v>0.89285714285714279</v>
      </c>
      <c r="D53" s="19">
        <f t="shared" si="3"/>
        <v>0.79719387755102034</v>
      </c>
      <c r="E53" s="19">
        <f t="shared" si="3"/>
        <v>0.71178024781341087</v>
      </c>
      <c r="F53" s="19">
        <f t="shared" si="3"/>
        <v>0.63551807840483121</v>
      </c>
      <c r="G53" s="19">
        <f t="shared" si="3"/>
        <v>0.56742685571859919</v>
      </c>
      <c r="H53" s="4"/>
      <c r="I53" s="4"/>
    </row>
    <row r="54" spans="1:9" x14ac:dyDescent="0.35">
      <c r="A54" s="14" t="s">
        <v>30</v>
      </c>
      <c r="B54" s="18">
        <f t="shared" ref="B54:G54" si="4">B52*B53</f>
        <v>-55000</v>
      </c>
      <c r="C54" s="18">
        <f t="shared" si="4"/>
        <v>11852.678571428567</v>
      </c>
      <c r="D54" s="18">
        <f t="shared" si="4"/>
        <v>11429.368622448976</v>
      </c>
      <c r="E54" s="18">
        <f t="shared" si="4"/>
        <v>11026.301703717196</v>
      </c>
      <c r="F54" s="18">
        <f t="shared" si="4"/>
        <v>10641.839703834339</v>
      </c>
      <c r="G54" s="18">
        <f t="shared" si="4"/>
        <v>15948.7957709562</v>
      </c>
      <c r="H54" s="4"/>
      <c r="I54" s="4"/>
    </row>
    <row r="55" spans="1:9" x14ac:dyDescent="0.35">
      <c r="A55" s="14" t="s">
        <v>31</v>
      </c>
      <c r="B55" s="18">
        <f>B52</f>
        <v>-55000</v>
      </c>
      <c r="C55" s="18">
        <f>B55+C52</f>
        <v>-41725</v>
      </c>
      <c r="D55" s="18">
        <f>C55+D52</f>
        <v>-27388.000000000004</v>
      </c>
      <c r="E55" s="18">
        <f>D55+E52</f>
        <v>-11896.840000000006</v>
      </c>
      <c r="F55" s="18">
        <f>E55+F52</f>
        <v>4848.3007999999954</v>
      </c>
      <c r="G55" s="18">
        <f>F55+G52</f>
        <v>32955.528383999997</v>
      </c>
      <c r="H55" s="4"/>
      <c r="I55" s="4"/>
    </row>
    <row r="56" spans="1:9" x14ac:dyDescent="0.35">
      <c r="A56" s="14" t="s">
        <v>32</v>
      </c>
      <c r="B56" s="18">
        <f>B54</f>
        <v>-55000</v>
      </c>
      <c r="C56" s="18">
        <f>B56+C54</f>
        <v>-43147.321428571435</v>
      </c>
      <c r="D56" s="18">
        <f>C56+D54</f>
        <v>-31717.952806122459</v>
      </c>
      <c r="E56" s="18">
        <f>D56+E54</f>
        <v>-20691.651102405263</v>
      </c>
      <c r="F56" s="18">
        <f>E56+F54</f>
        <v>-10049.811398570924</v>
      </c>
      <c r="G56" s="18">
        <f>F56+G54</f>
        <v>5898.9843723852755</v>
      </c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8" t="s">
        <v>42</v>
      </c>
      <c r="B58" s="8"/>
      <c r="C58" s="8"/>
      <c r="D58" s="8"/>
      <c r="E58" s="8"/>
      <c r="F58" s="8"/>
      <c r="G58" s="8"/>
      <c r="H58" s="4"/>
      <c r="I58" s="4"/>
    </row>
    <row r="59" spans="1:9" x14ac:dyDescent="0.35">
      <c r="A59" s="14" t="s">
        <v>15</v>
      </c>
      <c r="B59" s="15">
        <v>0</v>
      </c>
      <c r="C59" s="15">
        <v>1</v>
      </c>
      <c r="D59" s="15">
        <v>2</v>
      </c>
      <c r="E59" s="15">
        <v>3</v>
      </c>
      <c r="F59" s="15">
        <v>4</v>
      </c>
      <c r="G59" s="15">
        <v>5</v>
      </c>
      <c r="H59" s="4"/>
      <c r="I59" s="4"/>
    </row>
    <row r="60" spans="1:9" x14ac:dyDescent="0.35">
      <c r="A60" s="10" t="s">
        <v>16</v>
      </c>
      <c r="B60" s="16"/>
      <c r="C60" s="17">
        <f>$B$7</f>
        <v>40000</v>
      </c>
      <c r="D60" s="16">
        <f>C60*(1+$B$8)</f>
        <v>41600</v>
      </c>
      <c r="E60" s="16">
        <f>D60*(1+$B$8)</f>
        <v>43264</v>
      </c>
      <c r="F60" s="16">
        <f>E60*(1+$B$8)</f>
        <v>44994.560000000005</v>
      </c>
      <c r="G60" s="16">
        <f>F60*(1+$B$8)</f>
        <v>46794.342400000009</v>
      </c>
      <c r="H60" s="4"/>
      <c r="I60" s="4"/>
    </row>
    <row r="61" spans="1:9" x14ac:dyDescent="0.35">
      <c r="A61" s="10" t="s">
        <v>17</v>
      </c>
      <c r="B61" s="16"/>
      <c r="C61" s="16">
        <f>-C60*$B$9</f>
        <v>-24000</v>
      </c>
      <c r="D61" s="16">
        <f>-D60*$B$9</f>
        <v>-24960</v>
      </c>
      <c r="E61" s="16">
        <f>-E60*$B$9</f>
        <v>-25958.399999999998</v>
      </c>
      <c r="F61" s="16">
        <f>-F60*$B$9</f>
        <v>-26996.736000000001</v>
      </c>
      <c r="G61" s="16">
        <f>-G60*$B$9</f>
        <v>-28076.605440000003</v>
      </c>
      <c r="H61" s="4"/>
      <c r="I61" s="4"/>
    </row>
    <row r="62" spans="1:9" x14ac:dyDescent="0.35">
      <c r="A62" s="10" t="s">
        <v>18</v>
      </c>
      <c r="B62" s="16"/>
      <c r="C62" s="16">
        <f>-$B$10</f>
        <v>-7000</v>
      </c>
      <c r="D62" s="16">
        <f>C62*(1+$B$11)</f>
        <v>-7420</v>
      </c>
      <c r="E62" s="16">
        <f>D62*(1+$B$11)</f>
        <v>-7865.2000000000007</v>
      </c>
      <c r="F62" s="16">
        <f>E62*(1+$B$11)</f>
        <v>-8337.112000000001</v>
      </c>
      <c r="G62" s="16">
        <f>F62*(1+$B$11)</f>
        <v>-8837.3387200000016</v>
      </c>
      <c r="H62" s="4"/>
      <c r="I62" s="4"/>
    </row>
    <row r="63" spans="1:9" x14ac:dyDescent="0.35">
      <c r="A63" s="10" t="s">
        <v>19</v>
      </c>
      <c r="B63" s="16"/>
      <c r="C63" s="16">
        <f>C60+C61+C62</f>
        <v>9000</v>
      </c>
      <c r="D63" s="16">
        <f>D60+D61+D62</f>
        <v>9220</v>
      </c>
      <c r="E63" s="16">
        <f>E60+E61+E62</f>
        <v>9440.4000000000015</v>
      </c>
      <c r="F63" s="16">
        <f>F60+F61+F62</f>
        <v>9660.7120000000032</v>
      </c>
      <c r="G63" s="16">
        <f>G60+G61+G62</f>
        <v>9880.3982400000041</v>
      </c>
      <c r="H63" s="4"/>
      <c r="I63" s="4"/>
    </row>
    <row r="64" spans="1:9" x14ac:dyDescent="0.35">
      <c r="A64" s="10" t="s">
        <v>20</v>
      </c>
      <c r="B64" s="16"/>
      <c r="C64" s="16">
        <f>-($B$4-$B$12)/$B$6</f>
        <v>-10400</v>
      </c>
      <c r="D64" s="16">
        <f>-($B$4-$B$12)/$B$6</f>
        <v>-10400</v>
      </c>
      <c r="E64" s="16">
        <f>-($B$4-$B$12)/$B$6</f>
        <v>-10400</v>
      </c>
      <c r="F64" s="16">
        <f>-($B$4-$B$12)/$B$6</f>
        <v>-10400</v>
      </c>
      <c r="G64" s="16">
        <f>-($B$4-$B$12)/$B$6</f>
        <v>-10400</v>
      </c>
      <c r="H64" s="4"/>
      <c r="I64" s="4"/>
    </row>
    <row r="65" spans="1:9" x14ac:dyDescent="0.35">
      <c r="A65" s="10" t="s">
        <v>21</v>
      </c>
      <c r="B65" s="16"/>
      <c r="C65" s="16">
        <f>C63+C64</f>
        <v>-1400</v>
      </c>
      <c r="D65" s="16">
        <f>D63+D64</f>
        <v>-1180</v>
      </c>
      <c r="E65" s="16">
        <f>E63+E64</f>
        <v>-959.59999999999854</v>
      </c>
      <c r="F65" s="16">
        <f>F63+F64</f>
        <v>-739.28799999999683</v>
      </c>
      <c r="G65" s="16">
        <f>G63+G64</f>
        <v>-519.60175999999592</v>
      </c>
      <c r="H65" s="4"/>
      <c r="I65" s="4"/>
    </row>
    <row r="66" spans="1:9" x14ac:dyDescent="0.35">
      <c r="A66" s="10" t="s">
        <v>22</v>
      </c>
      <c r="B66" s="16"/>
      <c r="C66" s="16">
        <f>-C65*$B$13</f>
        <v>350</v>
      </c>
      <c r="D66" s="16">
        <f>-D65*$B$13</f>
        <v>295</v>
      </c>
      <c r="E66" s="16">
        <f>-E65*$B$13</f>
        <v>239.89999999999964</v>
      </c>
      <c r="F66" s="16">
        <f>-F65*$B$13</f>
        <v>184.82199999999921</v>
      </c>
      <c r="G66" s="16">
        <f>-G65*$B$13</f>
        <v>129.90043999999898</v>
      </c>
      <c r="H66" s="4"/>
      <c r="I66" s="4"/>
    </row>
    <row r="67" spans="1:9" x14ac:dyDescent="0.35">
      <c r="A67" s="10" t="s">
        <v>23</v>
      </c>
      <c r="B67" s="16"/>
      <c r="C67" s="16">
        <f>C65+C66</f>
        <v>-1050</v>
      </c>
      <c r="D67" s="16">
        <f>D65+D66</f>
        <v>-885</v>
      </c>
      <c r="E67" s="16">
        <f>E65+E66</f>
        <v>-719.69999999999891</v>
      </c>
      <c r="F67" s="16">
        <f>F65+F66</f>
        <v>-554.46599999999762</v>
      </c>
      <c r="G67" s="16">
        <f>G65+G66</f>
        <v>-389.70131999999694</v>
      </c>
      <c r="H67" s="4"/>
      <c r="I67" s="4"/>
    </row>
    <row r="68" spans="1:9" x14ac:dyDescent="0.35">
      <c r="A68" s="10" t="s">
        <v>24</v>
      </c>
      <c r="B68" s="16"/>
      <c r="C68" s="16">
        <f>-C64</f>
        <v>10400</v>
      </c>
      <c r="D68" s="16">
        <f>-D64</f>
        <v>10400</v>
      </c>
      <c r="E68" s="16">
        <f>-E64</f>
        <v>10400</v>
      </c>
      <c r="F68" s="16">
        <f>-F64</f>
        <v>10400</v>
      </c>
      <c r="G68" s="16">
        <f>-G64</f>
        <v>10400</v>
      </c>
      <c r="H68" s="4"/>
      <c r="I68" s="4"/>
    </row>
    <row r="69" spans="1:9" x14ac:dyDescent="0.35">
      <c r="A69" s="10" t="s">
        <v>25</v>
      </c>
      <c r="B69" s="17">
        <f>-$B$4</f>
        <v>-55000</v>
      </c>
      <c r="C69" s="16"/>
      <c r="D69" s="16"/>
      <c r="E69" s="16"/>
      <c r="F69" s="16"/>
      <c r="G69" s="16"/>
      <c r="H69" s="4"/>
      <c r="I69" s="4"/>
    </row>
    <row r="70" spans="1:9" x14ac:dyDescent="0.35">
      <c r="A70" s="10" t="s">
        <v>26</v>
      </c>
      <c r="B70" s="17">
        <f>-$B$5</f>
        <v>-5000</v>
      </c>
      <c r="C70" s="16"/>
      <c r="D70" s="16"/>
      <c r="E70" s="16"/>
      <c r="F70" s="16"/>
      <c r="G70" s="17">
        <f>$B$5</f>
        <v>5000</v>
      </c>
      <c r="H70" s="4"/>
      <c r="I70" s="4"/>
    </row>
    <row r="71" spans="1:9" x14ac:dyDescent="0.35">
      <c r="A71" s="10" t="s">
        <v>27</v>
      </c>
      <c r="B71" s="16"/>
      <c r="C71" s="16"/>
      <c r="D71" s="16"/>
      <c r="E71" s="16"/>
      <c r="F71" s="16"/>
      <c r="G71" s="17">
        <f>$B$12</f>
        <v>3000</v>
      </c>
      <c r="H71" s="4"/>
      <c r="I71" s="4"/>
    </row>
    <row r="72" spans="1:9" x14ac:dyDescent="0.35">
      <c r="A72" s="14" t="s">
        <v>28</v>
      </c>
      <c r="B72" s="18">
        <f t="shared" ref="B72:G72" si="5">SUM(B67:B71)</f>
        <v>-60000</v>
      </c>
      <c r="C72" s="18">
        <f t="shared" si="5"/>
        <v>9350</v>
      </c>
      <c r="D72" s="18">
        <f t="shared" si="5"/>
        <v>9515</v>
      </c>
      <c r="E72" s="18">
        <f t="shared" si="5"/>
        <v>9680.3000000000011</v>
      </c>
      <c r="F72" s="18">
        <f t="shared" si="5"/>
        <v>9845.5340000000033</v>
      </c>
      <c r="G72" s="18">
        <f t="shared" si="5"/>
        <v>18010.298680000004</v>
      </c>
      <c r="H72" s="4"/>
      <c r="I72" s="4"/>
    </row>
    <row r="73" spans="1:9" x14ac:dyDescent="0.35">
      <c r="A73" s="10" t="s">
        <v>29</v>
      </c>
      <c r="B73" s="19">
        <f>1/(1+$B$14)^B$59</f>
        <v>1</v>
      </c>
      <c r="C73" s="19">
        <f>1/(1+$B$14)^C$59</f>
        <v>0.8771929824561403</v>
      </c>
      <c r="D73" s="19">
        <f>1/(1+$B$14)^D$59</f>
        <v>0.76946752847029842</v>
      </c>
      <c r="E73" s="19">
        <f>1/(1+$B$14)^E$59</f>
        <v>0.67497151620201612</v>
      </c>
      <c r="F73" s="19">
        <f>1/(1+$B$14)^F$59</f>
        <v>0.59208027737018942</v>
      </c>
      <c r="G73" s="19">
        <f>1/(1+$B$14)^G$59</f>
        <v>0.51936866435981521</v>
      </c>
      <c r="H73" s="4"/>
      <c r="I73" s="4"/>
    </row>
    <row r="74" spans="1:9" s="25" customFormat="1" x14ac:dyDescent="0.35">
      <c r="A74" s="14" t="s">
        <v>30</v>
      </c>
      <c r="B74" s="18">
        <f t="shared" ref="B74:G74" si="6">B72*B73</f>
        <v>-60000</v>
      </c>
      <c r="C74" s="18">
        <f t="shared" si="6"/>
        <v>8201.7543859649122</v>
      </c>
      <c r="D74" s="18">
        <f t="shared" si="6"/>
        <v>7321.4835333948895</v>
      </c>
      <c r="E74" s="18">
        <f t="shared" si="6"/>
        <v>6533.9267682903774</v>
      </c>
      <c r="F74" s="18">
        <f t="shared" si="6"/>
        <v>5829.3465015776328</v>
      </c>
      <c r="G74" s="18">
        <f t="shared" si="6"/>
        <v>9353.9847701529452</v>
      </c>
      <c r="H74" s="6"/>
      <c r="I74" s="6"/>
    </row>
    <row r="75" spans="1:9" s="25" customFormat="1" x14ac:dyDescent="0.35">
      <c r="A75" s="14" t="s">
        <v>31</v>
      </c>
      <c r="B75" s="18">
        <f>B72</f>
        <v>-60000</v>
      </c>
      <c r="C75" s="18">
        <f>B75+C72</f>
        <v>-50650</v>
      </c>
      <c r="D75" s="18">
        <f>C75+D72</f>
        <v>-41135</v>
      </c>
      <c r="E75" s="18">
        <f>D75+E72</f>
        <v>-31454.699999999997</v>
      </c>
      <c r="F75" s="18">
        <f>E75+F72</f>
        <v>-21609.165999999994</v>
      </c>
      <c r="G75" s="18">
        <f>F75+G72</f>
        <v>-3598.8673199999903</v>
      </c>
      <c r="H75" s="6"/>
      <c r="I75" s="6"/>
    </row>
    <row r="76" spans="1:9" s="25" customFormat="1" x14ac:dyDescent="0.35">
      <c r="A76" s="14" t="s">
        <v>32</v>
      </c>
      <c r="B76" s="18">
        <f>B74</f>
        <v>-60000</v>
      </c>
      <c r="C76" s="18">
        <f>B76+C74</f>
        <v>-51798.245614035084</v>
      </c>
      <c r="D76" s="18">
        <f>C76+D74</f>
        <v>-44476.762080640197</v>
      </c>
      <c r="E76" s="18">
        <f>D76+E74</f>
        <v>-37942.835312349824</v>
      </c>
      <c r="F76" s="18">
        <f>E76+F74</f>
        <v>-32113.488810772193</v>
      </c>
      <c r="G76" s="18">
        <f>F76+G74</f>
        <v>-22759.504040619249</v>
      </c>
      <c r="H76" s="6"/>
      <c r="I76" s="6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8" t="s">
        <v>46</v>
      </c>
      <c r="B78" s="8"/>
      <c r="C78" s="8"/>
      <c r="D78" s="8"/>
      <c r="F78" s="5"/>
      <c r="G78" s="4"/>
      <c r="H78" s="4"/>
      <c r="I78" s="4"/>
    </row>
    <row r="79" spans="1:9" x14ac:dyDescent="0.35">
      <c r="A79" s="14" t="s">
        <v>38</v>
      </c>
      <c r="B79" s="24" t="s">
        <v>3</v>
      </c>
      <c r="C79" s="24" t="s">
        <v>1</v>
      </c>
      <c r="D79" s="24" t="s">
        <v>2</v>
      </c>
      <c r="F79" s="4"/>
      <c r="G79" s="4"/>
      <c r="H79" s="4"/>
      <c r="I79" s="4"/>
    </row>
    <row r="80" spans="1:9" x14ac:dyDescent="0.35">
      <c r="A80" s="14" t="s">
        <v>39</v>
      </c>
      <c r="B80" s="18">
        <f>B32</f>
        <v>-53000</v>
      </c>
      <c r="C80" s="18">
        <f>B52</f>
        <v>-55000</v>
      </c>
      <c r="D80" s="18">
        <f>B72</f>
        <v>-60000</v>
      </c>
      <c r="F80" s="4"/>
      <c r="G80" s="4"/>
      <c r="H80" s="4"/>
      <c r="I80" s="4"/>
    </row>
    <row r="81" spans="1:9" x14ac:dyDescent="0.35">
      <c r="A81" s="14" t="s">
        <v>33</v>
      </c>
      <c r="B81" s="18">
        <f>NPV($D$14,C32:G32)+B32</f>
        <v>33255.226849855797</v>
      </c>
      <c r="C81" s="18">
        <f>NPV($C$14,C52:G52)+B52</f>
        <v>5898.9843723852609</v>
      </c>
      <c r="D81" s="18">
        <f>NPV($B$14,C72:G72)+B72</f>
        <v>-22759.504040619242</v>
      </c>
      <c r="F81" s="4"/>
      <c r="G81" s="4"/>
      <c r="H81" s="4"/>
      <c r="I81" s="4"/>
    </row>
    <row r="82" spans="1:9" x14ac:dyDescent="0.35">
      <c r="A82" s="14" t="s">
        <v>34</v>
      </c>
      <c r="B82" s="20">
        <f>IRR(B32:G32)</f>
        <v>0.30421866670896214</v>
      </c>
      <c r="C82" s="20">
        <f>IRR(B52:G52)</f>
        <v>0.15759775275284471</v>
      </c>
      <c r="D82" s="20">
        <f>IRR(B72:G72)</f>
        <v>-1.8386280356966545E-2</v>
      </c>
      <c r="F82" s="4"/>
      <c r="G82" s="4"/>
      <c r="H82" s="4"/>
      <c r="I82" s="4"/>
    </row>
    <row r="83" spans="1:9" x14ac:dyDescent="0.35">
      <c r="A83" s="14" t="s">
        <v>35</v>
      </c>
      <c r="B83" s="21">
        <f>NPV($D$14,C32:G32)/-B32</f>
        <v>1.6274571103746376</v>
      </c>
      <c r="C83" s="21">
        <f>NPV($C$14,C52:G52)/-B52</f>
        <v>1.1072542613160956</v>
      </c>
      <c r="D83" s="21">
        <f>NPV($B$14,C72:G72)/-B72</f>
        <v>0.62067493265634599</v>
      </c>
      <c r="F83" s="4"/>
      <c r="G83" s="4"/>
      <c r="H83" s="4"/>
      <c r="I83" s="4"/>
    </row>
    <row r="84" spans="1:9" x14ac:dyDescent="0.35">
      <c r="A84" s="14" t="s">
        <v>36</v>
      </c>
      <c r="B84" s="23">
        <f>2+ABS(D35/E32)</f>
        <v>2.774324894354435</v>
      </c>
      <c r="C84" s="23">
        <f>3+ABS(E55/F52)</f>
        <v>3.7104652114958632</v>
      </c>
      <c r="D84" s="22" t="str">
        <f>IF(SUM(C72:G72)&gt;-$B$72,"Recovered", "Not Recovered")</f>
        <v>Not Recovered</v>
      </c>
      <c r="F84" s="7"/>
      <c r="G84" s="4"/>
      <c r="H84" s="4"/>
      <c r="I84" s="4"/>
    </row>
    <row r="85" spans="1:9" x14ac:dyDescent="0.35">
      <c r="A85" s="14" t="s">
        <v>40</v>
      </c>
      <c r="B85" s="23">
        <f>3+ABS(E36/F34)</f>
        <v>3.3883440025907228</v>
      </c>
      <c r="C85" s="23">
        <f>4+ABS(F56/G54)</f>
        <v>4.6301297943053665</v>
      </c>
      <c r="D85" s="22" t="str">
        <f>IF(SUM(C74:G74)&gt;-$B$72,"Recovered", "Not Recovered")</f>
        <v>Not Recovered</v>
      </c>
      <c r="F85" s="7"/>
      <c r="G85" s="4"/>
      <c r="H85" s="4"/>
      <c r="I85" s="4"/>
    </row>
    <row r="86" spans="1:9" x14ac:dyDescent="0.35">
      <c r="A86" s="14" t="s">
        <v>37</v>
      </c>
      <c r="B86" s="24" t="str">
        <f>IF(B81&gt;0,"ACCEPT","REJECT")</f>
        <v>ACCEPT</v>
      </c>
      <c r="C86" s="24" t="str">
        <f>IF(C81&gt;0,"ACCEPT","REJECT")</f>
        <v>ACCEPT</v>
      </c>
      <c r="D86" s="24" t="str">
        <f>IF(D81&gt;0,"ACCEPT","REJECT")</f>
        <v>REJECT</v>
      </c>
      <c r="F86" s="4"/>
      <c r="G86" s="4"/>
      <c r="H86" s="4"/>
      <c r="I86" s="4"/>
    </row>
    <row r="87" spans="1:9" x14ac:dyDescent="0.35">
      <c r="A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</sheetData>
  <pageMargins left="0.7" right="0.7" top="0.75" bottom="0.75" header="0.3" footer="0.3"/>
  <ignoredErrors>
    <ignoredError sqref="H26 C46:G46 C66:G66 C26:G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 K</dc:creator>
  <cp:lastModifiedBy>Risha K</cp:lastModifiedBy>
  <dcterms:created xsi:type="dcterms:W3CDTF">2026-09-05T03:19:11Z</dcterms:created>
  <dcterms:modified xsi:type="dcterms:W3CDTF">2026-09-13T14:21:02Z</dcterms:modified>
</cp:coreProperties>
</file>